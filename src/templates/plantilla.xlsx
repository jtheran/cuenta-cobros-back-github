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qa/Documents/PRUEBAS-QA/"/>
    </mc:Choice>
  </mc:AlternateContent>
  <xr:revisionPtr revIDLastSave="0" documentId="13_ncr:1_{6950869B-BDB3-0D46-8531-5FF55AFBA38C}" xr6:coauthVersionLast="47" xr6:coauthVersionMax="47" xr10:uidLastSave="{00000000-0000-0000-0000-000000000000}"/>
  <bookViews>
    <workbookView xWindow="200" yWindow="580" windowWidth="32900" windowHeight="18740" xr2:uid="{D42843FB-4620-C342-8E5E-1007A0DD9E1B}"/>
  </bookViews>
  <sheets>
    <sheet name="Hoja1" sheetId="1" r:id="rId1"/>
  </sheets>
  <calcPr calcId="191029"/>
  <pivotCaches>
    <pivotCache cacheId="4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" i="1" l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4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</calcChain>
</file>

<file path=xl/sharedStrings.xml><?xml version="1.0" encoding="utf-8"?>
<sst xmlns="http://schemas.openxmlformats.org/spreadsheetml/2006/main" count="97" uniqueCount="28">
  <si>
    <t>INFORME QA MENSUAL - MARZO 2025</t>
  </si>
  <si>
    <t>ANALISTA DE PRUEBAS QA</t>
  </si>
  <si>
    <t>PROYECTOS</t>
  </si>
  <si>
    <t>SPRINT</t>
  </si>
  <si>
    <t># DE TAREAS</t>
  </si>
  <si>
    <t>P. EXITOSAS</t>
  </si>
  <si>
    <t>P. FALLIDAS</t>
  </si>
  <si>
    <t>ESTEBAN JIMENEZ</t>
  </si>
  <si>
    <t>JUAN PABLO LARA</t>
  </si>
  <si>
    <t>LEANDRO MEZA</t>
  </si>
  <si>
    <t>ABRAHAM ALTUVE</t>
  </si>
  <si>
    <t>JOAN THERAN</t>
  </si>
  <si>
    <t>DURACION SPRINT</t>
  </si>
  <si>
    <t>TRASO</t>
  </si>
  <si>
    <t>2 SEMANAS</t>
  </si>
  <si>
    <t>SERVICES FACTORY</t>
  </si>
  <si>
    <t>HYDRA</t>
  </si>
  <si>
    <t>2SEMANAS</t>
  </si>
  <si>
    <t>COMFEWEB</t>
  </si>
  <si>
    <t>Etiquetas de fila</t>
  </si>
  <si>
    <t>Total general</t>
  </si>
  <si>
    <t>Suma de # DE TAREAS</t>
  </si>
  <si>
    <t>Suma de P. EXITOSAS</t>
  </si>
  <si>
    <t>Suma de P. FALLIDAS</t>
  </si>
  <si>
    <t>EFECTIVIDAD %</t>
  </si>
  <si>
    <t>% EXITO</t>
  </si>
  <si>
    <t>% BUGS</t>
  </si>
  <si>
    <t>% TAREAS REALIZADAS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</si>
</sst>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4"/>
      <color theme="1"/>
      <name val="Aptos Display"/>
      <scheme val="major"/>
    </font>
    <font>
      <b/>
      <sz val="14"/>
      <color theme="0"/>
      <name val="Aptos Display"/>
      <scheme val="major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32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/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 indent="1"/>
    </xf>
    <xf numFmtId="0" fontId="0" fillId="0" borderId="0" xfId="0" applyNumberFormat="1"/>
    <xf numFmtId="0" fontId="3" fillId="10" borderId="0" xfId="0" applyFont="1" applyFill="1" applyAlignment="1"/>
    <xf numFmtId="0" fontId="2" fillId="10" borderId="0" xfId="0" applyFont="1" applyFill="1"/>
    <xf numFmtId="0" fontId="1" fillId="11" borderId="1" xfId="0" applyFont="1" applyFill="1" applyBorder="1"/>
    <xf numFmtId="0" fontId="1" fillId="6" borderId="1" xfId="0" applyFont="1" applyFill="1" applyBorder="1"/>
    <xf numFmtId="0" fontId="1" fillId="12" borderId="1" xfId="0" applyFont="1" applyFill="1" applyBorder="1"/>
    <xf numFmtId="9" fontId="1" fillId="11" borderId="4" xfId="1" applyFont="1" applyFill="1" applyBorder="1"/>
    <xf numFmtId="9" fontId="1" fillId="6" borderId="5" xfId="1" applyFont="1" applyFill="1" applyBorder="1"/>
    <xf numFmtId="9" fontId="1" fillId="12" borderId="5" xfId="1" applyFont="1" applyFill="1" applyBorder="1"/>
    <xf numFmtId="9" fontId="1" fillId="11" borderId="6" xfId="1" applyFont="1" applyFill="1" applyBorder="1"/>
    <xf numFmtId="9" fontId="1" fillId="6" borderId="0" xfId="1" applyFont="1" applyFill="1" applyBorder="1"/>
    <xf numFmtId="9" fontId="1" fillId="12" borderId="0" xfId="1" applyFont="1" applyFill="1" applyBorder="1"/>
    <xf numFmtId="9" fontId="1" fillId="11" borderId="7" xfId="1" applyFont="1" applyFill="1" applyBorder="1"/>
    <xf numFmtId="9" fontId="1" fillId="6" borderId="8" xfId="1" applyFont="1" applyFill="1" applyBorder="1"/>
    <xf numFmtId="9" fontId="1" fillId="12" borderId="8" xfId="1" applyFont="1" applyFill="1" applyBorder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steban Jiménez" refreshedDate="45747.679983912036" createdVersion="8" refreshedVersion="8" minRefreshableVersion="3" recordCount="16" xr:uid="{517EB70A-54AF-CE49-A8C4-CE4F94F18061}">
  <cacheSource type="worksheet">
    <worksheetSource ref="G3:M19" sheet="Hoja1"/>
  </cacheSource>
  <cacheFields count="7">
    <cacheField name="ANALISTA DE PRUEBAS QA" numFmtId="0">
      <sharedItems count="5">
        <s v="ESTEBAN JIMENEZ"/>
        <s v="JUAN PABLO LARA"/>
        <s v="LEANDRO MEZA"/>
        <s v="ABRAHAM ALTUVE"/>
        <s v="JOAN THERAN"/>
      </sharedItems>
    </cacheField>
    <cacheField name="PROYECTOS" numFmtId="0">
      <sharedItems count="4">
        <s v="TRASO"/>
        <s v="SERVICES FACTORY"/>
        <s v="HYDRA"/>
        <s v="COMFEWEB"/>
      </sharedItems>
    </cacheField>
    <cacheField name="SPRINT" numFmtId="0">
      <sharedItems containsSemiMixedTypes="0" containsString="0" containsNumber="1" containsInteger="1" minValue="14" maxValue="39"/>
    </cacheField>
    <cacheField name="DURACION SPRINT" numFmtId="0">
      <sharedItems/>
    </cacheField>
    <cacheField name="# DE TAREAS" numFmtId="0">
      <sharedItems containsSemiMixedTypes="0" containsString="0" containsNumber="1" containsInteger="1" minValue="16" maxValue="40"/>
    </cacheField>
    <cacheField name="P. EXITOSAS" numFmtId="0">
      <sharedItems containsSemiMixedTypes="0" containsString="0" containsNumber="1" containsInteger="1" minValue="1" maxValue="32"/>
    </cacheField>
    <cacheField name="P. FALLIDAS" numFmtId="0">
      <sharedItems containsSemiMixedTypes="0" containsString="0" containsNumber="1" containsInteger="1" minValue="0" maxValue="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n v="17"/>
    <s v="2 SEMANAS"/>
    <n v="25"/>
    <n v="19"/>
    <n v="2"/>
  </r>
  <r>
    <x v="0"/>
    <x v="0"/>
    <n v="18"/>
    <s v="2 SEMANAS"/>
    <n v="19"/>
    <n v="6"/>
    <n v="0"/>
  </r>
  <r>
    <x v="0"/>
    <x v="1"/>
    <n v="24"/>
    <s v="2 SEMANAS"/>
    <n v="16"/>
    <n v="4"/>
    <n v="1"/>
  </r>
  <r>
    <x v="0"/>
    <x v="2"/>
    <n v="38"/>
    <s v="2SEMANAS"/>
    <n v="18"/>
    <n v="12"/>
    <n v="0"/>
  </r>
  <r>
    <x v="0"/>
    <x v="2"/>
    <n v="39"/>
    <s v="2SEMANAS"/>
    <n v="18"/>
    <n v="11"/>
    <n v="0"/>
  </r>
  <r>
    <x v="0"/>
    <x v="3"/>
    <n v="15"/>
    <s v="2 SEMANAS"/>
    <n v="21"/>
    <n v="12"/>
    <n v="0"/>
  </r>
  <r>
    <x v="1"/>
    <x v="0"/>
    <n v="17"/>
    <s v="2 SEMANAS"/>
    <n v="25"/>
    <n v="9"/>
    <n v="0"/>
  </r>
  <r>
    <x v="1"/>
    <x v="0"/>
    <n v="18"/>
    <s v="2 SEMANAS"/>
    <n v="19"/>
    <n v="11"/>
    <n v="1"/>
  </r>
  <r>
    <x v="1"/>
    <x v="3"/>
    <n v="15"/>
    <s v="2 SEMANAS"/>
    <n v="21"/>
    <n v="1"/>
    <n v="0"/>
  </r>
  <r>
    <x v="2"/>
    <x v="1"/>
    <n v="24"/>
    <s v="2 SEMANAS"/>
    <n v="16"/>
    <n v="6"/>
    <n v="2"/>
  </r>
  <r>
    <x v="2"/>
    <x v="1"/>
    <n v="26"/>
    <s v="2 SEMANAS"/>
    <n v="23"/>
    <n v="2"/>
    <n v="0"/>
  </r>
  <r>
    <x v="2"/>
    <x v="2"/>
    <n v="38"/>
    <s v="2 SEMANAS"/>
    <n v="18"/>
    <n v="6"/>
    <n v="0"/>
  </r>
  <r>
    <x v="3"/>
    <x v="3"/>
    <n v="14"/>
    <s v="2 SEMANAS"/>
    <n v="40"/>
    <n v="32"/>
    <n v="8"/>
  </r>
  <r>
    <x v="3"/>
    <x v="3"/>
    <n v="15"/>
    <s v="2 SEMANAS"/>
    <n v="21"/>
    <n v="2"/>
    <n v="0"/>
  </r>
  <r>
    <x v="4"/>
    <x v="1"/>
    <n v="24"/>
    <s v="2 SEMANAS"/>
    <n v="16"/>
    <n v="1"/>
    <n v="0"/>
  </r>
  <r>
    <x v="4"/>
    <x v="3"/>
    <n v="15"/>
    <s v="2 SEMANAS"/>
    <n v="21"/>
    <n v="5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7BF17E-FB31-A649-86C3-B9563EC8D97D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G25:J41" firstHeaderRow="0" firstDataRow="1" firstDataCol="1"/>
  <pivotFields count="7">
    <pivotField axis="axisRow" showAll="0">
      <items count="6">
        <item x="3"/>
        <item x="0"/>
        <item x="4"/>
        <item x="1"/>
        <item x="2"/>
        <item t="default"/>
      </items>
    </pivotField>
    <pivotField axis="axisRow" showAll="0">
      <items count="5">
        <item x="3"/>
        <item x="2"/>
        <item x="1"/>
        <item x="0"/>
        <item t="default"/>
      </items>
    </pivotField>
    <pivotField showAll="0"/>
    <pivotField showAll="0"/>
    <pivotField dataField="1" showAll="0"/>
    <pivotField dataField="1" showAll="0"/>
    <pivotField dataField="1" showAll="0"/>
  </pivotFields>
  <rowFields count="2">
    <field x="1"/>
    <field x="0"/>
  </rowFields>
  <rowItems count="16">
    <i>
      <x/>
    </i>
    <i r="1">
      <x/>
    </i>
    <i r="1">
      <x v="1"/>
    </i>
    <i r="1">
      <x v="2"/>
    </i>
    <i r="1">
      <x v="3"/>
    </i>
    <i>
      <x v="1"/>
    </i>
    <i r="1">
      <x v="1"/>
    </i>
    <i r="1">
      <x v="4"/>
    </i>
    <i>
      <x v="2"/>
    </i>
    <i r="1">
      <x v="1"/>
    </i>
    <i r="1">
      <x v="2"/>
    </i>
    <i r="1">
      <x v="4"/>
    </i>
    <i>
      <x v="3"/>
    </i>
    <i r="1">
      <x v="1"/>
    </i>
    <i r="1"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de # DE TAREAS" fld="4" baseField="0" baseItem="0"/>
    <dataField name="Suma de P. EXITOSAS" fld="5" baseField="0" baseItem="0"/>
    <dataField name="Suma de P. FALLIDA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20E8F-5349-DE4B-9A45-235EEC424551}">
  <dimension ref="G2:S42"/>
  <sheetViews>
    <sheetView tabSelected="1" zoomScaleNormal="100" workbookViewId="0">
      <selection activeCell="S30" sqref="S30"/>
    </sheetView>
  </sheetViews>
  <sheetFormatPr baseColWidth="10" defaultRowHeight="16" x14ac:dyDescent="0.2"/>
  <cols>
    <col min="4" max="4" width="5.5" customWidth="1"/>
    <col min="5" max="5" width="0.83203125" customWidth="1"/>
    <col min="6" max="6" width="12.33203125" customWidth="1"/>
    <col min="7" max="7" width="19.33203125" style="7" bestFit="1" customWidth="1"/>
    <col min="8" max="8" width="19" bestFit="1" customWidth="1"/>
    <col min="9" max="9" width="18.5" bestFit="1" customWidth="1"/>
    <col min="10" max="10" width="18.83203125" bestFit="1" customWidth="1"/>
    <col min="11" max="11" width="13.6640625" customWidth="1"/>
    <col min="15" max="15" width="0.6640625" customWidth="1"/>
    <col min="16" max="16" width="23.83203125" customWidth="1"/>
    <col min="19" max="19" width="19.83203125" customWidth="1"/>
  </cols>
  <sheetData>
    <row r="2" spans="7:19" ht="18" x14ac:dyDescent="0.25">
      <c r="G2" s="13" t="s">
        <v>0</v>
      </c>
      <c r="H2" s="14"/>
      <c r="I2" s="14"/>
      <c r="J2" s="14"/>
      <c r="K2" s="14"/>
      <c r="L2" s="14"/>
      <c r="M2" s="14"/>
      <c r="N2" s="2"/>
      <c r="O2" s="2"/>
      <c r="P2" s="19"/>
      <c r="Q2" s="18" t="s">
        <v>24</v>
      </c>
      <c r="R2" s="18"/>
      <c r="S2" s="18"/>
    </row>
    <row r="3" spans="7:19" x14ac:dyDescent="0.2">
      <c r="G3" s="5" t="s">
        <v>1</v>
      </c>
      <c r="H3" s="3" t="s">
        <v>2</v>
      </c>
      <c r="I3" s="4" t="s">
        <v>3</v>
      </c>
      <c r="J3" s="4" t="s">
        <v>12</v>
      </c>
      <c r="K3" s="4" t="s">
        <v>4</v>
      </c>
      <c r="L3" s="4" t="s">
        <v>5</v>
      </c>
      <c r="M3" s="4" t="s">
        <v>6</v>
      </c>
      <c r="P3" s="6" t="s">
        <v>1</v>
      </c>
      <c r="Q3" s="20" t="s">
        <v>25</v>
      </c>
      <c r="R3" s="21" t="s">
        <v>26</v>
      </c>
      <c r="S3" s="22" t="s">
        <v>27</v>
      </c>
    </row>
    <row r="4" spans="7:19" x14ac:dyDescent="0.2">
      <c r="G4" s="6" t="s">
        <v>7</v>
      </c>
      <c r="H4" s="8" t="s">
        <v>13</v>
      </c>
      <c r="I4" s="12">
        <v>17</v>
      </c>
      <c r="J4" s="1" t="s">
        <v>14</v>
      </c>
      <c r="K4" s="11">
        <v>25</v>
      </c>
      <c r="L4" s="10">
        <v>19</v>
      </c>
      <c r="M4" s="9">
        <v>2</v>
      </c>
      <c r="P4" s="6" t="s">
        <v>7</v>
      </c>
      <c r="Q4" s="23">
        <f>(L4/K4)</f>
        <v>0.76</v>
      </c>
      <c r="R4" s="24">
        <f>(M4/K4)</f>
        <v>0.08</v>
      </c>
      <c r="S4" s="25">
        <f>(L4+M4)/K4</f>
        <v>0.84</v>
      </c>
    </row>
    <row r="5" spans="7:19" x14ac:dyDescent="0.2">
      <c r="G5" s="6" t="s">
        <v>7</v>
      </c>
      <c r="H5" s="8" t="s">
        <v>13</v>
      </c>
      <c r="I5" s="12">
        <v>18</v>
      </c>
      <c r="J5" s="1" t="s">
        <v>14</v>
      </c>
      <c r="K5" s="11">
        <v>19</v>
      </c>
      <c r="L5" s="10">
        <v>6</v>
      </c>
      <c r="M5" s="9">
        <v>0</v>
      </c>
      <c r="P5" s="6" t="s">
        <v>7</v>
      </c>
      <c r="Q5" s="26">
        <f t="shared" ref="Q5:Q19" si="0">(L5/K5)</f>
        <v>0.31578947368421051</v>
      </c>
      <c r="R5" s="27">
        <f t="shared" ref="R5:R19" si="1">(M5/K5)</f>
        <v>0</v>
      </c>
      <c r="S5" s="28">
        <f t="shared" ref="S5:S19" si="2">(L5+M5)/K5</f>
        <v>0.31578947368421051</v>
      </c>
    </row>
    <row r="6" spans="7:19" x14ac:dyDescent="0.2">
      <c r="G6" s="6" t="s">
        <v>7</v>
      </c>
      <c r="H6" s="8" t="s">
        <v>15</v>
      </c>
      <c r="I6" s="12">
        <v>24</v>
      </c>
      <c r="J6" s="1" t="s">
        <v>14</v>
      </c>
      <c r="K6" s="11">
        <v>16</v>
      </c>
      <c r="L6" s="10">
        <v>4</v>
      </c>
      <c r="M6" s="9">
        <v>1</v>
      </c>
      <c r="P6" s="6" t="s">
        <v>7</v>
      </c>
      <c r="Q6" s="26">
        <f t="shared" si="0"/>
        <v>0.25</v>
      </c>
      <c r="R6" s="27">
        <f t="shared" si="1"/>
        <v>6.25E-2</v>
      </c>
      <c r="S6" s="28">
        <f t="shared" si="2"/>
        <v>0.3125</v>
      </c>
    </row>
    <row r="7" spans="7:19" x14ac:dyDescent="0.2">
      <c r="G7" s="6" t="s">
        <v>7</v>
      </c>
      <c r="H7" s="8" t="s">
        <v>16</v>
      </c>
      <c r="I7" s="12">
        <v>38</v>
      </c>
      <c r="J7" s="1" t="s">
        <v>17</v>
      </c>
      <c r="K7" s="11">
        <v>18</v>
      </c>
      <c r="L7" s="10">
        <v>12</v>
      </c>
      <c r="M7" s="9">
        <v>0</v>
      </c>
      <c r="P7" s="6" t="s">
        <v>7</v>
      </c>
      <c r="Q7" s="26">
        <f t="shared" si="0"/>
        <v>0.66666666666666663</v>
      </c>
      <c r="R7" s="27">
        <f t="shared" si="1"/>
        <v>0</v>
      </c>
      <c r="S7" s="28">
        <f t="shared" si="2"/>
        <v>0.66666666666666663</v>
      </c>
    </row>
    <row r="8" spans="7:19" x14ac:dyDescent="0.2">
      <c r="G8" s="6" t="s">
        <v>7</v>
      </c>
      <c r="H8" s="8" t="s">
        <v>16</v>
      </c>
      <c r="I8" s="12">
        <v>39</v>
      </c>
      <c r="J8" s="1" t="s">
        <v>17</v>
      </c>
      <c r="K8" s="11">
        <v>18</v>
      </c>
      <c r="L8" s="10">
        <v>11</v>
      </c>
      <c r="M8" s="9">
        <v>0</v>
      </c>
      <c r="P8" s="6" t="s">
        <v>7</v>
      </c>
      <c r="Q8" s="26">
        <f t="shared" si="0"/>
        <v>0.61111111111111116</v>
      </c>
      <c r="R8" s="27">
        <f t="shared" si="1"/>
        <v>0</v>
      </c>
      <c r="S8" s="28">
        <f t="shared" si="2"/>
        <v>0.61111111111111116</v>
      </c>
    </row>
    <row r="9" spans="7:19" x14ac:dyDescent="0.2">
      <c r="G9" s="6" t="s">
        <v>7</v>
      </c>
      <c r="H9" s="8" t="s">
        <v>18</v>
      </c>
      <c r="I9" s="12">
        <v>15</v>
      </c>
      <c r="J9" s="1" t="s">
        <v>14</v>
      </c>
      <c r="K9" s="11">
        <v>21</v>
      </c>
      <c r="L9" s="10">
        <v>12</v>
      </c>
      <c r="M9" s="9">
        <v>0</v>
      </c>
      <c r="P9" s="6" t="s">
        <v>7</v>
      </c>
      <c r="Q9" s="26">
        <f t="shared" si="0"/>
        <v>0.5714285714285714</v>
      </c>
      <c r="R9" s="27">
        <f t="shared" si="1"/>
        <v>0</v>
      </c>
      <c r="S9" s="28">
        <f t="shared" si="2"/>
        <v>0.5714285714285714</v>
      </c>
    </row>
    <row r="10" spans="7:19" x14ac:dyDescent="0.2">
      <c r="G10" s="6" t="s">
        <v>8</v>
      </c>
      <c r="H10" s="8" t="s">
        <v>13</v>
      </c>
      <c r="I10" s="12">
        <v>17</v>
      </c>
      <c r="J10" s="1" t="s">
        <v>14</v>
      </c>
      <c r="K10" s="11">
        <v>25</v>
      </c>
      <c r="L10" s="10">
        <v>9</v>
      </c>
      <c r="M10" s="9">
        <v>0</v>
      </c>
      <c r="P10" s="6" t="s">
        <v>8</v>
      </c>
      <c r="Q10" s="26">
        <f t="shared" si="0"/>
        <v>0.36</v>
      </c>
      <c r="R10" s="27">
        <f t="shared" si="1"/>
        <v>0</v>
      </c>
      <c r="S10" s="28">
        <f t="shared" si="2"/>
        <v>0.36</v>
      </c>
    </row>
    <row r="11" spans="7:19" x14ac:dyDescent="0.2">
      <c r="G11" s="6" t="s">
        <v>8</v>
      </c>
      <c r="H11" s="8" t="s">
        <v>13</v>
      </c>
      <c r="I11" s="12">
        <v>18</v>
      </c>
      <c r="J11" s="1" t="s">
        <v>14</v>
      </c>
      <c r="K11" s="11">
        <v>19</v>
      </c>
      <c r="L11" s="10">
        <v>11</v>
      </c>
      <c r="M11" s="9">
        <v>1</v>
      </c>
      <c r="P11" s="6" t="s">
        <v>8</v>
      </c>
      <c r="Q11" s="26">
        <f t="shared" si="0"/>
        <v>0.57894736842105265</v>
      </c>
      <c r="R11" s="27">
        <f t="shared" si="1"/>
        <v>5.2631578947368418E-2</v>
      </c>
      <c r="S11" s="28">
        <f t="shared" si="2"/>
        <v>0.63157894736842102</v>
      </c>
    </row>
    <row r="12" spans="7:19" x14ac:dyDescent="0.2">
      <c r="G12" s="6" t="s">
        <v>8</v>
      </c>
      <c r="H12" s="8" t="s">
        <v>18</v>
      </c>
      <c r="I12" s="12">
        <v>15</v>
      </c>
      <c r="J12" s="1" t="s">
        <v>14</v>
      </c>
      <c r="K12" s="11">
        <v>21</v>
      </c>
      <c r="L12" s="10">
        <v>1</v>
      </c>
      <c r="M12" s="9">
        <v>0</v>
      </c>
      <c r="P12" s="6" t="s">
        <v>8</v>
      </c>
      <c r="Q12" s="26">
        <f t="shared" si="0"/>
        <v>4.7619047619047616E-2</v>
      </c>
      <c r="R12" s="27">
        <f t="shared" si="1"/>
        <v>0</v>
      </c>
      <c r="S12" s="28">
        <f t="shared" si="2"/>
        <v>4.7619047619047616E-2</v>
      </c>
    </row>
    <row r="13" spans="7:19" x14ac:dyDescent="0.2">
      <c r="G13" s="6" t="s">
        <v>9</v>
      </c>
      <c r="H13" s="8" t="s">
        <v>15</v>
      </c>
      <c r="I13" s="12">
        <v>24</v>
      </c>
      <c r="J13" s="1" t="s">
        <v>14</v>
      </c>
      <c r="K13" s="11">
        <v>16</v>
      </c>
      <c r="L13" s="10">
        <v>6</v>
      </c>
      <c r="M13" s="9">
        <v>2</v>
      </c>
      <c r="P13" s="6" t="s">
        <v>9</v>
      </c>
      <c r="Q13" s="26">
        <f t="shared" si="0"/>
        <v>0.375</v>
      </c>
      <c r="R13" s="27">
        <f t="shared" si="1"/>
        <v>0.125</v>
      </c>
      <c r="S13" s="28">
        <f t="shared" si="2"/>
        <v>0.5</v>
      </c>
    </row>
    <row r="14" spans="7:19" x14ac:dyDescent="0.2">
      <c r="G14" s="6" t="s">
        <v>9</v>
      </c>
      <c r="H14" s="8" t="s">
        <v>15</v>
      </c>
      <c r="I14" s="12">
        <v>26</v>
      </c>
      <c r="J14" s="1" t="s">
        <v>14</v>
      </c>
      <c r="K14" s="11">
        <v>23</v>
      </c>
      <c r="L14" s="10">
        <v>2</v>
      </c>
      <c r="M14" s="9">
        <v>0</v>
      </c>
      <c r="P14" s="6" t="s">
        <v>9</v>
      </c>
      <c r="Q14" s="26">
        <f t="shared" si="0"/>
        <v>8.6956521739130432E-2</v>
      </c>
      <c r="R14" s="27">
        <f t="shared" si="1"/>
        <v>0</v>
      </c>
      <c r="S14" s="28">
        <f t="shared" si="2"/>
        <v>8.6956521739130432E-2</v>
      </c>
    </row>
    <row r="15" spans="7:19" x14ac:dyDescent="0.2">
      <c r="G15" s="6" t="s">
        <v>9</v>
      </c>
      <c r="H15" s="8" t="s">
        <v>16</v>
      </c>
      <c r="I15" s="12">
        <v>38</v>
      </c>
      <c r="J15" s="1" t="s">
        <v>14</v>
      </c>
      <c r="K15" s="11">
        <v>18</v>
      </c>
      <c r="L15" s="10">
        <v>6</v>
      </c>
      <c r="M15" s="9">
        <v>0</v>
      </c>
      <c r="P15" s="6" t="s">
        <v>9</v>
      </c>
      <c r="Q15" s="26">
        <f t="shared" si="0"/>
        <v>0.33333333333333331</v>
      </c>
      <c r="R15" s="27">
        <f t="shared" si="1"/>
        <v>0</v>
      </c>
      <c r="S15" s="28">
        <f t="shared" si="2"/>
        <v>0.33333333333333331</v>
      </c>
    </row>
    <row r="16" spans="7:19" x14ac:dyDescent="0.2">
      <c r="G16" s="6" t="s">
        <v>10</v>
      </c>
      <c r="H16" s="8" t="s">
        <v>18</v>
      </c>
      <c r="I16" s="12">
        <v>14</v>
      </c>
      <c r="J16" s="1" t="s">
        <v>14</v>
      </c>
      <c r="K16" s="11">
        <v>40</v>
      </c>
      <c r="L16" s="10">
        <v>32</v>
      </c>
      <c r="M16" s="9">
        <v>8</v>
      </c>
      <c r="P16" s="6" t="s">
        <v>10</v>
      </c>
      <c r="Q16" s="26">
        <f t="shared" si="0"/>
        <v>0.8</v>
      </c>
      <c r="R16" s="27">
        <f t="shared" si="1"/>
        <v>0.2</v>
      </c>
      <c r="S16" s="28">
        <f t="shared" si="2"/>
        <v>1</v>
      </c>
    </row>
    <row r="17" spans="7:19" x14ac:dyDescent="0.2">
      <c r="G17" s="6" t="s">
        <v>10</v>
      </c>
      <c r="H17" s="8" t="s">
        <v>18</v>
      </c>
      <c r="I17" s="12">
        <v>15</v>
      </c>
      <c r="J17" s="1" t="s">
        <v>14</v>
      </c>
      <c r="K17" s="11">
        <v>21</v>
      </c>
      <c r="L17" s="10">
        <v>2</v>
      </c>
      <c r="M17" s="9">
        <v>0</v>
      </c>
      <c r="P17" s="6" t="s">
        <v>10</v>
      </c>
      <c r="Q17" s="26">
        <f t="shared" si="0"/>
        <v>9.5238095238095233E-2</v>
      </c>
      <c r="R17" s="27">
        <f t="shared" si="1"/>
        <v>0</v>
      </c>
      <c r="S17" s="28">
        <f t="shared" si="2"/>
        <v>9.5238095238095233E-2</v>
      </c>
    </row>
    <row r="18" spans="7:19" x14ac:dyDescent="0.2">
      <c r="G18" s="6" t="s">
        <v>11</v>
      </c>
      <c r="H18" s="8" t="s">
        <v>15</v>
      </c>
      <c r="I18" s="12">
        <v>24</v>
      </c>
      <c r="J18" s="1" t="s">
        <v>14</v>
      </c>
      <c r="K18" s="11">
        <v>16</v>
      </c>
      <c r="L18" s="10">
        <v>1</v>
      </c>
      <c r="M18" s="9">
        <v>0</v>
      </c>
      <c r="P18" s="6" t="s">
        <v>11</v>
      </c>
      <c r="Q18" s="26">
        <f t="shared" si="0"/>
        <v>6.25E-2</v>
      </c>
      <c r="R18" s="27">
        <f t="shared" si="1"/>
        <v>0</v>
      </c>
      <c r="S18" s="28">
        <f t="shared" si="2"/>
        <v>6.25E-2</v>
      </c>
    </row>
    <row r="19" spans="7:19" x14ac:dyDescent="0.2">
      <c r="G19" s="6" t="s">
        <v>11</v>
      </c>
      <c r="H19" s="8" t="s">
        <v>18</v>
      </c>
      <c r="I19" s="12">
        <v>15</v>
      </c>
      <c r="J19" s="1" t="s">
        <v>14</v>
      </c>
      <c r="K19" s="11">
        <v>21</v>
      </c>
      <c r="L19" s="10">
        <v>5</v>
      </c>
      <c r="M19" s="9">
        <v>0</v>
      </c>
      <c r="P19" s="6" t="s">
        <v>11</v>
      </c>
      <c r="Q19" s="29">
        <f t="shared" si="0"/>
        <v>0.23809523809523808</v>
      </c>
      <c r="R19" s="30">
        <f t="shared" si="1"/>
        <v>0</v>
      </c>
      <c r="S19" s="31">
        <f t="shared" si="2"/>
        <v>0.23809523809523808</v>
      </c>
    </row>
    <row r="25" spans="7:19" x14ac:dyDescent="0.2">
      <c r="G25" s="15" t="s">
        <v>19</v>
      </c>
      <c r="H25" t="s">
        <v>21</v>
      </c>
      <c r="I25" t="s">
        <v>22</v>
      </c>
      <c r="J25" t="s">
        <v>23</v>
      </c>
    </row>
    <row r="26" spans="7:19" x14ac:dyDescent="0.2">
      <c r="G26" s="7" t="s">
        <v>18</v>
      </c>
      <c r="H26" s="17">
        <v>124</v>
      </c>
      <c r="I26" s="17">
        <v>52</v>
      </c>
      <c r="J26" s="17">
        <v>8</v>
      </c>
    </row>
    <row r="27" spans="7:19" x14ac:dyDescent="0.2">
      <c r="G27" s="16" t="s">
        <v>10</v>
      </c>
      <c r="H27" s="17">
        <v>61</v>
      </c>
      <c r="I27" s="17">
        <v>34</v>
      </c>
      <c r="J27" s="17">
        <v>8</v>
      </c>
    </row>
    <row r="28" spans="7:19" x14ac:dyDescent="0.2">
      <c r="G28" s="16" t="s">
        <v>7</v>
      </c>
      <c r="H28" s="17">
        <v>21</v>
      </c>
      <c r="I28" s="17">
        <v>12</v>
      </c>
      <c r="J28" s="17">
        <v>0</v>
      </c>
    </row>
    <row r="29" spans="7:19" x14ac:dyDescent="0.2">
      <c r="G29" s="16" t="s">
        <v>11</v>
      </c>
      <c r="H29" s="17">
        <v>21</v>
      </c>
      <c r="I29" s="17">
        <v>5</v>
      </c>
      <c r="J29" s="17">
        <v>0</v>
      </c>
    </row>
    <row r="30" spans="7:19" x14ac:dyDescent="0.2">
      <c r="G30" s="16" t="s">
        <v>8</v>
      </c>
      <c r="H30" s="17">
        <v>21</v>
      </c>
      <c r="I30" s="17">
        <v>1</v>
      </c>
      <c r="J30" s="17">
        <v>0</v>
      </c>
    </row>
    <row r="31" spans="7:19" x14ac:dyDescent="0.2">
      <c r="G31" s="7" t="s">
        <v>16</v>
      </c>
      <c r="H31" s="17">
        <v>54</v>
      </c>
      <c r="I31" s="17">
        <v>29</v>
      </c>
      <c r="J31" s="17">
        <v>0</v>
      </c>
    </row>
    <row r="32" spans="7:19" x14ac:dyDescent="0.2">
      <c r="G32" s="16" t="s">
        <v>7</v>
      </c>
      <c r="H32" s="17">
        <v>36</v>
      </c>
      <c r="I32" s="17">
        <v>23</v>
      </c>
      <c r="J32" s="17">
        <v>0</v>
      </c>
    </row>
    <row r="33" spans="7:10" x14ac:dyDescent="0.2">
      <c r="G33" s="16" t="s">
        <v>9</v>
      </c>
      <c r="H33" s="17">
        <v>18</v>
      </c>
      <c r="I33" s="17">
        <v>6</v>
      </c>
      <c r="J33" s="17">
        <v>0</v>
      </c>
    </row>
    <row r="34" spans="7:10" x14ac:dyDescent="0.2">
      <c r="G34" s="7" t="s">
        <v>15</v>
      </c>
      <c r="H34" s="17">
        <v>71</v>
      </c>
      <c r="I34" s="17">
        <v>13</v>
      </c>
      <c r="J34" s="17">
        <v>3</v>
      </c>
    </row>
    <row r="35" spans="7:10" x14ac:dyDescent="0.2">
      <c r="G35" s="16" t="s">
        <v>7</v>
      </c>
      <c r="H35" s="17">
        <v>16</v>
      </c>
      <c r="I35" s="17">
        <v>4</v>
      </c>
      <c r="J35" s="17">
        <v>1</v>
      </c>
    </row>
    <row r="36" spans="7:10" x14ac:dyDescent="0.2">
      <c r="G36" s="16" t="s">
        <v>11</v>
      </c>
      <c r="H36" s="17">
        <v>16</v>
      </c>
      <c r="I36" s="17">
        <v>1</v>
      </c>
      <c r="J36" s="17">
        <v>0</v>
      </c>
    </row>
    <row r="37" spans="7:10" x14ac:dyDescent="0.2">
      <c r="G37" s="16" t="s">
        <v>9</v>
      </c>
      <c r="H37" s="17">
        <v>39</v>
      </c>
      <c r="I37" s="17">
        <v>8</v>
      </c>
      <c r="J37" s="17">
        <v>2</v>
      </c>
    </row>
    <row r="38" spans="7:10" x14ac:dyDescent="0.2">
      <c r="G38" s="7" t="s">
        <v>13</v>
      </c>
      <c r="H38" s="17">
        <v>88</v>
      </c>
      <c r="I38" s="17">
        <v>45</v>
      </c>
      <c r="J38" s="17">
        <v>3</v>
      </c>
    </row>
    <row r="39" spans="7:10" x14ac:dyDescent="0.2">
      <c r="G39" s="16" t="s">
        <v>7</v>
      </c>
      <c r="H39" s="17">
        <v>44</v>
      </c>
      <c r="I39" s="17">
        <v>25</v>
      </c>
      <c r="J39" s="17">
        <v>2</v>
      </c>
    </row>
    <row r="40" spans="7:10" x14ac:dyDescent="0.2">
      <c r="G40" s="16" t="s">
        <v>8</v>
      </c>
      <c r="H40" s="17">
        <v>44</v>
      </c>
      <c r="I40" s="17">
        <v>20</v>
      </c>
      <c r="J40" s="17">
        <v>1</v>
      </c>
    </row>
    <row r="41" spans="7:10" x14ac:dyDescent="0.2">
      <c r="G41" s="7" t="s">
        <v>20</v>
      </c>
      <c r="H41" s="17">
        <v>337</v>
      </c>
      <c r="I41" s="17">
        <v>139</v>
      </c>
      <c r="J41" s="17">
        <v>14</v>
      </c>
    </row>
    <row r="42" spans="7:10" x14ac:dyDescent="0.2">
      <c r="G42"/>
    </row>
  </sheetData>
  <mergeCells count="1">
    <mergeCell ref="G2:M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DE JESUS JIMENEZ</dc:creator>
  <cp:lastModifiedBy>ESTEBAN DE JESUS JIMENEZ</cp:lastModifiedBy>
  <dcterms:created xsi:type="dcterms:W3CDTF">2025-03-31T20:26:17Z</dcterms:created>
  <dcterms:modified xsi:type="dcterms:W3CDTF">2025-03-31T21:48:58Z</dcterms:modified>
</cp:coreProperties>
</file>